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76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4B6B2"/>
      </patternFill>
    </fill>
    <fill>
      <patternFill patternType="solid">
        <fgColor rgb="00FCE8A6"/>
      </patternFill>
    </fill>
    <fill>
      <patternFill patternType="solid">
        <fgColor rgb="00BFE3C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name val="Arial"/>
        <b val="1"/>
        <sz val="10"/>
      </font>
      <fill>
        <patternFill patternType="solid">
          <fgColor rgb="00F4B6B2"/>
        </patternFill>
      </fill>
    </dxf>
    <dxf>
      <fill>
        <patternFill patternType="solid">
          <fgColor rgb="00FCE8A6"/>
        </patternFill>
      </fill>
    </dxf>
    <dxf>
      <fill>
        <patternFill patternType="solid">
          <fgColor rgb="00Bfe3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3" customWidth="1" min="4" max="4"/>
    <col width="10" customWidth="1" min="5" max="5"/>
    <col width="13" customWidth="1" min="6" max="6"/>
    <col width="10" customWidth="1" min="7" max="7"/>
    <col width="34" customWidth="1" min="8" max="8"/>
    <col width="14" customWidth="1" min="9" max="9"/>
  </cols>
  <sheetData>
    <row r="1" ht="24" customHeight="1">
      <c r="A1" s="1" t="inlineStr">
        <is>
          <t>Matriz de Riesgos — MAGERIT (Proyecto TCC Seguridad Web)</t>
        </is>
      </c>
    </row>
    <row r="2">
      <c r="A2" s="2" t="inlineStr">
        <is>
          <t>Riesgo = Probabilidad x Impacto  |  Escala 1=Bajo 2=Medio 3=Alto  |  Nivel: 6-9 Alto, 3-4 Medio, 1-2 Bajo</t>
        </is>
      </c>
    </row>
    <row r="4" ht="30" customHeight="1">
      <c r="A4" s="3" t="inlineStr">
        <is>
          <t>ID</t>
        </is>
      </c>
      <c r="B4" s="3" t="inlineStr">
        <is>
          <t>Riesgo</t>
        </is>
      </c>
      <c r="C4" s="3" t="inlineStr">
        <is>
          <t>Activo(s) afectado(s)</t>
        </is>
      </c>
      <c r="D4" s="3" t="inlineStr">
        <is>
          <t>Probabilidad</t>
        </is>
      </c>
      <c r="E4" s="3" t="inlineStr">
        <is>
          <t>Impacto</t>
        </is>
      </c>
      <c r="F4" s="3" t="inlineStr">
        <is>
          <t>Riesgo (PxI)</t>
        </is>
      </c>
      <c r="G4" s="3" t="inlineStr">
        <is>
          <t>Nivel</t>
        </is>
      </c>
      <c r="H4" s="3" t="inlineStr">
        <is>
          <t>Control / contramedida</t>
        </is>
      </c>
      <c r="I4" s="3" t="inlineStr">
        <is>
          <t>Riesgo residual</t>
        </is>
      </c>
    </row>
    <row r="5">
      <c r="A5" s="4" t="inlineStr">
        <is>
          <t>R1</t>
        </is>
      </c>
      <c r="B5" s="5" t="inlineStr">
        <is>
          <t>Inyección SQL</t>
        </is>
      </c>
      <c r="C5" s="5" t="inlineStr">
        <is>
          <t>BD usuarios, credenciales, datos personales</t>
        </is>
      </c>
      <c r="D5" s="4" t="n">
        <v>3</v>
      </c>
      <c r="E5" s="4" t="n">
        <v>3</v>
      </c>
      <c r="F5" s="4">
        <f>D5*E5</f>
        <v/>
      </c>
      <c r="G5" s="4">
        <f>IF(F5&gt;=6,"Alto",IF(F5&gt;=3,"Medio","Bajo"))</f>
        <v/>
      </c>
      <c r="H5" s="5" t="inlineStr">
        <is>
          <t>Consultas parametrizadas + validación de entrada</t>
        </is>
      </c>
      <c r="I5" s="4" t="inlineStr">
        <is>
          <t>Bajo</t>
        </is>
      </c>
    </row>
    <row r="6">
      <c r="A6" s="4" t="inlineStr">
        <is>
          <t>R2</t>
        </is>
      </c>
      <c r="B6" s="5" t="inlineStr">
        <is>
          <t>Cross-Site Scripting (XSS)</t>
        </is>
      </c>
      <c r="C6" s="5" t="inlineStr">
        <is>
          <t>Sesiones de usuario, aplicación web</t>
        </is>
      </c>
      <c r="D6" s="4" t="n">
        <v>3</v>
      </c>
      <c r="E6" s="4" t="n">
        <v>2</v>
      </c>
      <c r="F6" s="4">
        <f>D6*E6</f>
        <v/>
      </c>
      <c r="G6" s="4">
        <f>IF(F6&gt;=6,"Alto",IF(F6&gt;=3,"Medio","Bajo"))</f>
        <v/>
      </c>
      <c r="H6" s="5" t="inlineStr">
        <is>
          <t>Codificación de salida + CSP + cookies HttpOnly</t>
        </is>
      </c>
      <c r="I6" s="4" t="inlineStr">
        <is>
          <t>Bajo</t>
        </is>
      </c>
    </row>
    <row r="7">
      <c r="A7" s="4" t="inlineStr">
        <is>
          <t>R3</t>
        </is>
      </c>
      <c r="B7" s="5" t="inlineStr">
        <is>
          <t>Fuerza bruta en el login</t>
        </is>
      </c>
      <c r="C7" s="5" t="inlineStr">
        <is>
          <t>Credenciales de usuarios</t>
        </is>
      </c>
      <c r="D7" s="4" t="n">
        <v>3</v>
      </c>
      <c r="E7" s="4" t="n">
        <v>2</v>
      </c>
      <c r="F7" s="4">
        <f>D7*E7</f>
        <v/>
      </c>
      <c r="G7" s="4">
        <f>IF(F7&gt;=6,"Alto",IF(F7&gt;=3,"Medio","Bajo"))</f>
        <v/>
      </c>
      <c r="H7" s="5" t="inlineStr">
        <is>
          <t>Límite de intentos + bloqueo + CAPTCHA</t>
        </is>
      </c>
      <c r="I7" s="4" t="inlineStr">
        <is>
          <t>Bajo</t>
        </is>
      </c>
    </row>
    <row r="8">
      <c r="A8" s="4" t="inlineStr">
        <is>
          <t>R4</t>
        </is>
      </c>
      <c r="B8" s="5" t="inlineStr">
        <is>
          <t>Credenciales en texto plano / MD5 sin sal</t>
        </is>
      </c>
      <c r="C8" s="5" t="inlineStr">
        <is>
          <t>Credenciales, BD usuarios</t>
        </is>
      </c>
      <c r="D8" s="4" t="n">
        <v>2</v>
      </c>
      <c r="E8" s="4" t="n">
        <v>3</v>
      </c>
      <c r="F8" s="4">
        <f>D8*E8</f>
        <v/>
      </c>
      <c r="G8" s="4">
        <f>IF(F8&gt;=6,"Alto",IF(F8&gt;=3,"Medio","Bajo"))</f>
        <v/>
      </c>
      <c r="H8" s="5" t="inlineStr">
        <is>
          <t>Hash con sal (bcrypt / Argon2)</t>
        </is>
      </c>
      <c r="I8" s="4" t="inlineStr">
        <is>
          <t>Bajo</t>
        </is>
      </c>
    </row>
    <row r="9">
      <c r="A9" s="4" t="inlineStr">
        <is>
          <t>R5</t>
        </is>
      </c>
      <c r="B9" s="5" t="inlineStr">
        <is>
          <t>Secuestro de sesión</t>
        </is>
      </c>
      <c r="C9" s="5" t="inlineStr">
        <is>
          <t>Sesiones de usuario</t>
        </is>
      </c>
      <c r="D9" s="4" t="n">
        <v>2</v>
      </c>
      <c r="E9" s="4" t="n">
        <v>2</v>
      </c>
      <c r="F9" s="4">
        <f>D9*E9</f>
        <v/>
      </c>
      <c r="G9" s="4">
        <f>IF(F9&gt;=6,"Alto",IF(F9&gt;=3,"Medio","Bajo"))</f>
        <v/>
      </c>
      <c r="H9" s="5" t="inlineStr">
        <is>
          <t>HttpOnly / Secure + TLS</t>
        </is>
      </c>
      <c r="I9" s="4" t="inlineStr">
        <is>
          <t>Bajo</t>
        </is>
      </c>
    </row>
    <row r="10">
      <c r="A10" s="4" t="inlineStr">
        <is>
          <t>R6</t>
        </is>
      </c>
      <c r="B10" s="5" t="inlineStr">
        <is>
          <t>Fuga de datos personales</t>
        </is>
      </c>
      <c r="C10" s="5" t="inlineStr">
        <is>
          <t>Datos personales de clientes</t>
        </is>
      </c>
      <c r="D10" s="4" t="n">
        <v>2</v>
      </c>
      <c r="E10" s="4" t="n">
        <v>3</v>
      </c>
      <c r="F10" s="4">
        <f>D10*E10</f>
        <v/>
      </c>
      <c r="G10" s="4">
        <f>IF(F10&gt;=6,"Alto",IF(F10&gt;=3,"Medio","Bajo"))</f>
        <v/>
      </c>
      <c r="H10" s="5" t="inlineStr">
        <is>
          <t>Controles R1–R4 + cifrado + mínimos privilegios</t>
        </is>
      </c>
      <c r="I10" s="4" t="inlineStr">
        <is>
          <t>Bajo</t>
        </is>
      </c>
    </row>
    <row r="12">
      <c r="B12" s="6" t="inlineStr">
        <is>
          <t>Leyenda nivel de riesgo:</t>
        </is>
      </c>
      <c r="C12" s="7" t="inlineStr">
        <is>
          <t>Alto (6-9)</t>
        </is>
      </c>
      <c r="D12" s="8" t="inlineStr">
        <is>
          <t>Medio (3-5)</t>
        </is>
      </c>
      <c r="E12" s="9" t="inlineStr">
        <is>
          <t>Bajo (1-2)</t>
        </is>
      </c>
    </row>
  </sheetData>
  <mergeCells count="2">
    <mergeCell ref="A1:I1"/>
    <mergeCell ref="A2:I2"/>
  </mergeCells>
  <conditionalFormatting sqref="F5:F10">
    <cfRule type="cellIs" priority="1" operator="greaterThanOrEqual" dxfId="0">
      <formula>6</formula>
    </cfRule>
    <cfRule type="cellIs" priority="2" operator="between" dxfId="1">
      <formula>3</formula>
      <formula>5</formula>
    </cfRule>
    <cfRule type="cellIs" priority="3" operator="lessThanOrEqual" dxfId="2">
      <formula>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2026-10-27T02:58:51Z</dcterms:created>
  <dcterms:modified xmlns:dcterms="http://purl.org/dc/terms/" xmlns:xsi="http://www.w3.org/2001/XMLSchema-instance" xsi:type="dcterms:W3CDTF">2026-10-27T02:58:51Z</dcterms:modified>
</cp:coreProperties>
</file>